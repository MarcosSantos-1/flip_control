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DC\2025\"/>
    </mc:Choice>
  </mc:AlternateContent>
  <xr:revisionPtr revIDLastSave="0" documentId="13_ncr:1_{CED33B88-728C-48AF-9284-05507C3BCBA8}" xr6:coauthVersionLast="47" xr6:coauthVersionMax="47" xr10:uidLastSave="{00000000-0000-0000-0000-000000000000}"/>
  <bookViews>
    <workbookView xWindow="28680" yWindow="-120" windowWidth="20730" windowHeight="11040" tabRatio="565" activeTab="1" xr2:uid="{DD481DD4-7EEE-4025-A481-C8314886F06C}"/>
  </bookViews>
  <sheets>
    <sheet name="ADC" sheetId="54" r:id="rId1"/>
    <sheet name="EXPLICAÇÃO" sheetId="55" r:id="rId2"/>
  </sheets>
  <definedNames>
    <definedName name="_xlnm.Print_Area" localSheetId="0">ADC!$A$1:$L$78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54" l="1"/>
  <c r="E10" i="54"/>
  <c r="F42" i="54"/>
  <c r="E42" i="54"/>
  <c r="G42" i="54"/>
  <c r="D42" i="54"/>
  <c r="H44" i="54"/>
  <c r="H60" i="54" l="1"/>
  <c r="G58" i="54"/>
  <c r="F58" i="54"/>
  <c r="E58" i="54"/>
  <c r="D58" i="54"/>
  <c r="H32" i="54"/>
  <c r="H31" i="54"/>
  <c r="H21" i="54"/>
  <c r="F10" i="54"/>
  <c r="H43" i="54"/>
  <c r="H42" i="54" l="1"/>
  <c r="D8" i="54" s="1"/>
  <c r="H58" i="54"/>
  <c r="D9" i="54" s="1"/>
  <c r="H16" i="54" l="1"/>
  <c r="H17" i="54"/>
  <c r="G18" i="54"/>
  <c r="G19" i="54" s="1"/>
  <c r="G33" i="54"/>
  <c r="G30" i="54" s="1"/>
  <c r="F33" i="54"/>
  <c r="F30" i="54" s="1"/>
  <c r="E33" i="54"/>
  <c r="E30" i="54" s="1"/>
  <c r="D33" i="54"/>
  <c r="D30" i="54" s="1"/>
  <c r="F18" i="54" l="1"/>
  <c r="F19" i="54" s="1"/>
  <c r="E18" i="54"/>
  <c r="E19" i="54" s="1"/>
  <c r="D19" i="54"/>
  <c r="H18" i="54" l="1"/>
  <c r="H19" i="54" s="1"/>
  <c r="D6" i="54" l="1"/>
  <c r="H33" i="54"/>
  <c r="H30" i="54" l="1"/>
  <c r="D7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DA SILVA VALE</author>
  </authors>
  <commentList>
    <comment ref="T15" authorId="0" shapeId="0" xr:uid="{46D5BF34-860A-44DD-A4B1-762712381829}">
      <text>
        <r>
          <rPr>
            <b/>
            <sz val="9"/>
            <color indexed="81"/>
            <rFont val="Segoe UI"/>
            <family val="2"/>
          </rPr>
          <t>CRISTINA DA SILVA VALE:</t>
        </r>
        <r>
          <rPr>
            <sz val="9"/>
            <color indexed="81"/>
            <rFont val="Segoe UI"/>
            <family val="2"/>
          </rPr>
          <t xml:space="preserve">
1 A 15 DE DEZ</t>
        </r>
      </text>
    </comment>
  </commentList>
</comments>
</file>

<file path=xl/sharedStrings.xml><?xml version="1.0" encoding="utf-8"?>
<sst xmlns="http://schemas.openxmlformats.org/spreadsheetml/2006/main" count="127" uniqueCount="101">
  <si>
    <t>CV</t>
  </si>
  <si>
    <t>JT</t>
  </si>
  <si>
    <t>ST</t>
  </si>
  <si>
    <t>MG</t>
  </si>
  <si>
    <t>IRD</t>
  </si>
  <si>
    <t>Nº DOMICÍLIOS</t>
  </si>
  <si>
    <t>TOTAL</t>
  </si>
  <si>
    <t>PONTUAÇÃO</t>
  </si>
  <si>
    <t xml:space="preserve">RÉGUA PONTUAÇÃO </t>
  </si>
  <si>
    <t xml:space="preserve">IRD TOTAL </t>
  </si>
  <si>
    <t>PERCENTUAL</t>
  </si>
  <si>
    <t>RÉGUA PONTUAÇÃO</t>
  </si>
  <si>
    <t xml:space="preserve">RECLAMAÇÕES PROCEDENTES </t>
  </si>
  <si>
    <t xml:space="preserve">I.A. </t>
  </si>
  <si>
    <t>Nº SOLICITAÇÕES PROCEDENTES</t>
  </si>
  <si>
    <t>ATENDIDOS FORA DO PRAZO</t>
  </si>
  <si>
    <t xml:space="preserve">ATENDIDOS NO PRAZO </t>
  </si>
  <si>
    <t>70% ≤ IA &lt; 80% = 40 pontos</t>
  </si>
  <si>
    <t>SUBPREFEITURA</t>
  </si>
  <si>
    <t>IA</t>
  </si>
  <si>
    <t>LIMITES DE DESCONTOS</t>
  </si>
  <si>
    <t>Recebimento Integral</t>
  </si>
  <si>
    <t>Pontuação ADC</t>
  </si>
  <si>
    <t xml:space="preserve">Nº DE SAC ESCALONADO      </t>
  </si>
  <si>
    <t xml:space="preserve">IRD ≤ 1,0  =  20 pontos </t>
  </si>
  <si>
    <t xml:space="preserve"> 1,0  &lt; IRD  ≤ 2,0  =  15 pontos </t>
  </si>
  <si>
    <t xml:space="preserve"> 2,0  &lt; IRD  ≤ 5,0  =  10 pontos </t>
  </si>
  <si>
    <t xml:space="preserve"> 5,0  &lt; IRD  ≤ 10  =  05 pontos </t>
  </si>
  <si>
    <t xml:space="preserve"> IRD &gt;  10  =  0 pontos </t>
  </si>
  <si>
    <t>IF</t>
  </si>
  <si>
    <t>IPT</t>
  </si>
  <si>
    <t>INDICADOR</t>
  </si>
  <si>
    <t xml:space="preserve">                      ÍNDICE DE RECLAMAÇÕES POR DOMICILIO - IRD     </t>
  </si>
  <si>
    <t xml:space="preserve">IF </t>
  </si>
  <si>
    <t>TOTAL BFS</t>
  </si>
  <si>
    <t>IF ≥ 90% = 20 pontos</t>
  </si>
  <si>
    <t xml:space="preserve">80% ≤ IF &lt; 90% = 18 pontos </t>
  </si>
  <si>
    <t>60% ≤ IF &lt; 70% = 14 pontos</t>
  </si>
  <si>
    <t>50% ≤ IF &lt; 60% = 12 pontos</t>
  </si>
  <si>
    <t>40% ≤ IF &lt; 50% = 10 pontos</t>
  </si>
  <si>
    <t>30% ≤ IF &lt; 40% = 8 pontos</t>
  </si>
  <si>
    <t>20% ≤ IF &lt; 30% = 6 pontos</t>
  </si>
  <si>
    <t>10% ≤ IF &lt; 20% = 4 pontos</t>
  </si>
  <si>
    <t>IF &lt; 10% = 0 pontos</t>
  </si>
  <si>
    <t>Nº DE FISCALIZAÇÕES SEM IRREGULARIDADES</t>
  </si>
  <si>
    <t xml:space="preserve">PONTUAÇÃO MÁXIMA </t>
  </si>
  <si>
    <t xml:space="preserve">                                      INDICE DE FISCALIZAÇÃO - IF</t>
  </si>
  <si>
    <t xml:space="preserve">                                         ÍNDICE DE ATENDIMENTO - IA  </t>
  </si>
  <si>
    <t xml:space="preserve">                                 INDICE PLANO DE TRABALHO - IPT</t>
  </si>
  <si>
    <t>90 ≤ ADC &lt; 100</t>
  </si>
  <si>
    <t>RGRAS DE DESCONTO</t>
  </si>
  <si>
    <t xml:space="preserve">70 ≤ ADC &lt; 89      </t>
  </si>
  <si>
    <t xml:space="preserve">50  ≤ ADC &lt; 69    </t>
  </si>
  <si>
    <t xml:space="preserve">30 ≤ ADC &lt; 49 </t>
  </si>
  <si>
    <t xml:space="preserve">0,20% por ponto abaixo de 90 </t>
  </si>
  <si>
    <t xml:space="preserve">0,25% por ponto abaixo de 40 </t>
  </si>
  <si>
    <t xml:space="preserve">0,5 % por ponto abaixo de 49 </t>
  </si>
  <si>
    <t xml:space="preserve"> recebimento de 70 % poderá ser aberto processo administrativo  para rescisão</t>
  </si>
  <si>
    <t xml:space="preserve"> ADC &lt; 30      </t>
  </si>
  <si>
    <t>Pontuação parcial</t>
  </si>
  <si>
    <t xml:space="preserve">                                              *contabilizado com coleta de entulho demandante</t>
  </si>
  <si>
    <t>Limite por Subprefeitura Mês</t>
  </si>
  <si>
    <t>TOTAL IPT</t>
  </si>
  <si>
    <t>Faixa de IA</t>
  </si>
  <si>
    <t>Pontuação</t>
  </si>
  <si>
    <t>IA ≥ 90%</t>
  </si>
  <si>
    <t>20 pontos</t>
  </si>
  <si>
    <t>80% ≤ IA &lt; 90%</t>
  </si>
  <si>
    <t>16 pontos</t>
  </si>
  <si>
    <t>70% ≤ IA &lt; 80%</t>
  </si>
  <si>
    <t>12 pontos</t>
  </si>
  <si>
    <t>60% ≤ IA &lt; 70%</t>
  </si>
  <si>
    <t>8 pontos</t>
  </si>
  <si>
    <t>50% ≤ IA &lt; 60%</t>
  </si>
  <si>
    <t>4 pontos</t>
  </si>
  <si>
    <t>IA &lt; 50%</t>
  </si>
  <si>
    <t>0 pontos</t>
  </si>
  <si>
    <t>FAIXA IRD</t>
  </si>
  <si>
    <t>Limite vencimento Subprefeitura</t>
  </si>
  <si>
    <t>10 % do total que entra por mês</t>
  </si>
  <si>
    <t>Limite de Vencimento</t>
  </si>
  <si>
    <t>para cada 01 vistoria com irregularidades, deve-se fazer 02 sem irregularidades</t>
  </si>
  <si>
    <t>data periodo</t>
  </si>
  <si>
    <t>Faixa de IPT</t>
  </si>
  <si>
    <t>IPT ≥ 90%</t>
  </si>
  <si>
    <t>40 pontos</t>
  </si>
  <si>
    <t>80% ≤ IPT &lt; 90%</t>
  </si>
  <si>
    <t>38 pontos</t>
  </si>
  <si>
    <t>70% ≤ IPT &lt; 80%</t>
  </si>
  <si>
    <t>36 pontos</t>
  </si>
  <si>
    <t>60% ≤ IPT &lt; 70%</t>
  </si>
  <si>
    <t>32 pontos</t>
  </si>
  <si>
    <t>50% ≤ IPT &lt; 60%</t>
  </si>
  <si>
    <t>28 pontos</t>
  </si>
  <si>
    <t>40% ≤ IPT &lt; 50%</t>
  </si>
  <si>
    <t>24 pontos</t>
  </si>
  <si>
    <t>30% ≤ IPT &lt; 40%</t>
  </si>
  <si>
    <t>20% ≤ IPT &lt; 30%</t>
  </si>
  <si>
    <t>10% ≤ IPT &lt; 20%</t>
  </si>
  <si>
    <t>IPT &lt; 10%</t>
  </si>
  <si>
    <t xml:space="preserve">                                                                                 ADC PONTUAÇÃO 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</si>
</sst>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4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6"/>
      <color theme="1"/>
      <name val="Calibri"/>
      <family val="2"/>
      <scheme val="minor"/>
    </font>
    <font>
      <sz val="18"/>
      <color rgb="FF000000"/>
      <name val="Calibri"/>
      <family val="2"/>
    </font>
    <font>
      <b/>
      <sz val="16"/>
      <color theme="0"/>
      <name val="Calibri"/>
      <family val="2"/>
      <scheme val="minor"/>
    </font>
    <font>
      <sz val="16"/>
      <color rgb="FF000000"/>
      <name val="Calibri"/>
      <family val="2"/>
    </font>
    <font>
      <sz val="11"/>
      <color theme="0" tint="-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Aptos"/>
      <family val="2"/>
    </font>
    <font>
      <b/>
      <sz val="18"/>
      <color rgb="FF000000"/>
      <name val="Calibri"/>
      <family val="2"/>
    </font>
    <font>
      <b/>
      <sz val="9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0" tint="-0.249977111117893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0" fillId="0" borderId="0" xfId="1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 wrapText="1"/>
    </xf>
    <xf numFmtId="1" fontId="15" fillId="0" borderId="0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left"/>
    </xf>
    <xf numFmtId="1" fontId="7" fillId="0" borderId="0" xfId="1" applyNumberFormat="1" applyFont="1" applyBorder="1" applyAlignment="1">
      <alignment horizontal="center" vertical="center"/>
    </xf>
    <xf numFmtId="1" fontId="5" fillId="0" borderId="0" xfId="1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65" fontId="13" fillId="0" borderId="0" xfId="3" applyNumberFormat="1" applyFont="1" applyFill="1" applyBorder="1" applyAlignment="1">
      <alignment horizontal="left" vertical="center" wrapText="1"/>
    </xf>
    <xf numFmtId="43" fontId="13" fillId="0" borderId="0" xfId="3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2" applyFill="1" applyBorder="1"/>
    <xf numFmtId="17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5" borderId="0" xfId="0" applyFill="1"/>
    <xf numFmtId="0" fontId="21" fillId="4" borderId="0" xfId="0" applyFont="1" applyFill="1" applyAlignment="1">
      <alignment vertical="center" wrapText="1" readingOrder="1"/>
    </xf>
    <xf numFmtId="0" fontId="0" fillId="6" borderId="0" xfId="0" applyFill="1"/>
    <xf numFmtId="17" fontId="0" fillId="6" borderId="0" xfId="0" applyNumberFormat="1" applyFill="1" applyAlignment="1">
      <alignment horizontal="center" vertical="center"/>
    </xf>
    <xf numFmtId="1" fontId="0" fillId="6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 readingOrder="1"/>
    </xf>
    <xf numFmtId="17" fontId="20" fillId="3" borderId="0" xfId="0" applyNumberFormat="1" applyFont="1" applyFill="1" applyAlignment="1">
      <alignment vertical="center"/>
    </xf>
    <xf numFmtId="0" fontId="20" fillId="3" borderId="0" xfId="0" applyFont="1" applyFill="1" applyAlignment="1">
      <alignment vertical="center" wrapText="1"/>
    </xf>
    <xf numFmtId="17" fontId="20" fillId="3" borderId="6" xfId="0" applyNumberFormat="1" applyFont="1" applyFill="1" applyBorder="1" applyAlignment="1">
      <alignment vertical="center"/>
    </xf>
    <xf numFmtId="17" fontId="20" fillId="3" borderId="7" xfId="0" applyNumberFormat="1" applyFont="1" applyFill="1" applyBorder="1" applyAlignment="1">
      <alignment vertical="center"/>
    </xf>
    <xf numFmtId="17" fontId="20" fillId="3" borderId="7" xfId="0" applyNumberFormat="1" applyFont="1" applyFill="1" applyBorder="1" applyAlignment="1">
      <alignment vertical="center" wrapText="1"/>
    </xf>
    <xf numFmtId="17" fontId="20" fillId="3" borderId="8" xfId="0" applyNumberFormat="1" applyFont="1" applyFill="1" applyBorder="1" applyAlignment="1">
      <alignment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1" fontId="7" fillId="0" borderId="1" xfId="1" applyNumberFormat="1" applyFont="1" applyBorder="1" applyAlignment="1">
      <alignment horizontal="center" vertical="center"/>
    </xf>
    <xf numFmtId="1" fontId="7" fillId="0" borderId="8" xfId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1" fontId="7" fillId="0" borderId="3" xfId="1" applyNumberFormat="1" applyFont="1" applyBorder="1" applyAlignment="1">
      <alignment horizontal="center" vertical="center"/>
    </xf>
    <xf numFmtId="17" fontId="2" fillId="0" borderId="10" xfId="0" applyNumberFormat="1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1" fontId="2" fillId="0" borderId="12" xfId="1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0" fillId="7" borderId="0" xfId="0" applyFill="1"/>
    <xf numFmtId="0" fontId="22" fillId="0" borderId="0" xfId="0" applyFont="1"/>
    <xf numFmtId="17" fontId="20" fillId="3" borderId="0" xfId="0" applyNumberFormat="1" applyFont="1" applyFill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7" fillId="2" borderId="16" xfId="0" applyFont="1" applyFill="1" applyBorder="1" applyAlignment="1">
      <alignment horizontal="center" vertical="center"/>
    </xf>
    <xf numFmtId="10" fontId="6" fillId="7" borderId="16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" fontId="2" fillId="0" borderId="16" xfId="0" applyNumberFormat="1" applyFont="1" applyBorder="1" applyAlignment="1">
      <alignment horizontal="center" vertical="center"/>
    </xf>
    <xf numFmtId="1" fontId="2" fillId="0" borderId="16" xfId="1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10" fontId="6" fillId="8" borderId="16" xfId="1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16" fillId="3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 readingOrder="1"/>
    </xf>
    <xf numFmtId="0" fontId="10" fillId="0" borderId="16" xfId="0" applyFont="1" applyBorder="1" applyAlignment="1">
      <alignment horizontal="center" vertical="center" wrapText="1" readingOrder="1"/>
    </xf>
    <xf numFmtId="9" fontId="10" fillId="0" borderId="16" xfId="0" applyNumberFormat="1" applyFont="1" applyBorder="1" applyAlignment="1">
      <alignment horizontal="center" vertical="center" wrapText="1" readingOrder="1"/>
    </xf>
    <xf numFmtId="0" fontId="10" fillId="4" borderId="16" xfId="0" applyFont="1" applyFill="1" applyBorder="1" applyAlignment="1">
      <alignment horizontal="center" vertical="center" wrapText="1" readingOrder="1"/>
    </xf>
    <xf numFmtId="9" fontId="10" fillId="4" borderId="16" xfId="0" applyNumberFormat="1" applyFont="1" applyFill="1" applyBorder="1" applyAlignment="1">
      <alignment horizontal="center" vertical="center" wrapText="1" readingOrder="1"/>
    </xf>
    <xf numFmtId="0" fontId="21" fillId="4" borderId="16" xfId="0" applyFont="1" applyFill="1" applyBorder="1" applyAlignment="1">
      <alignment horizontal="center" vertical="center" wrapText="1" readingOrder="1"/>
    </xf>
    <xf numFmtId="2" fontId="19" fillId="4" borderId="16" xfId="0" applyNumberFormat="1" applyFont="1" applyFill="1" applyBorder="1" applyAlignment="1">
      <alignment horizontal="center" vertical="center" wrapText="1" readingOrder="1"/>
    </xf>
    <xf numFmtId="10" fontId="19" fillId="4" borderId="16" xfId="0" applyNumberFormat="1" applyFont="1" applyFill="1" applyBorder="1" applyAlignment="1">
      <alignment horizontal="center" vertical="center" wrapText="1" readingOrder="1"/>
    </xf>
    <xf numFmtId="0" fontId="24" fillId="4" borderId="16" xfId="0" applyFont="1" applyFill="1" applyBorder="1" applyAlignment="1">
      <alignment horizontal="center" vertical="center" wrapText="1" readingOrder="1"/>
    </xf>
    <xf numFmtId="14" fontId="25" fillId="4" borderId="16" xfId="0" applyNumberFormat="1" applyFont="1" applyFill="1" applyBorder="1" applyAlignment="1">
      <alignment horizontal="center" vertical="center" wrapText="1" readingOrder="1"/>
    </xf>
    <xf numFmtId="14" fontId="24" fillId="4" borderId="16" xfId="0" applyNumberFormat="1" applyFont="1" applyFill="1" applyBorder="1" applyAlignment="1">
      <alignment horizontal="center" vertical="center" wrapText="1" readingOrder="1"/>
    </xf>
    <xf numFmtId="0" fontId="17" fillId="4" borderId="16" xfId="0" applyFont="1" applyFill="1" applyBorder="1" applyAlignment="1">
      <alignment horizontal="center" vertical="center" wrapText="1" readingOrder="1"/>
    </xf>
    <xf numFmtId="0" fontId="0" fillId="7" borderId="9" xfId="0" applyFill="1" applyBorder="1" applyAlignment="1">
      <alignment horizontal="center" vertical="center"/>
    </xf>
    <xf numFmtId="3" fontId="0" fillId="7" borderId="9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7" fontId="20" fillId="3" borderId="16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" fontId="0" fillId="7" borderId="9" xfId="0" applyNumberForma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10" fontId="30" fillId="8" borderId="16" xfId="1" applyNumberFormat="1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9" fontId="6" fillId="0" borderId="16" xfId="0" applyNumberFormat="1" applyFont="1" applyBorder="1" applyAlignment="1">
      <alignment horizontal="center"/>
    </xf>
    <xf numFmtId="17" fontId="20" fillId="0" borderId="0" xfId="0" applyNumberFormat="1" applyFont="1" applyAlignment="1">
      <alignment horizontal="center" vertical="center"/>
    </xf>
    <xf numFmtId="0" fontId="24" fillId="9" borderId="16" xfId="0" applyFont="1" applyFill="1" applyBorder="1" applyAlignment="1">
      <alignment horizontal="center" vertical="center" wrapText="1" readingOrder="1"/>
    </xf>
    <xf numFmtId="10" fontId="32" fillId="9" borderId="16" xfId="0" applyNumberFormat="1" applyFont="1" applyFill="1" applyBorder="1" applyAlignment="1">
      <alignment horizontal="center" vertical="center" wrapText="1" readingOrder="1"/>
    </xf>
    <xf numFmtId="0" fontId="25" fillId="9" borderId="16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readingOrder="1"/>
    </xf>
    <xf numFmtId="0" fontId="8" fillId="0" borderId="5" xfId="0" applyFont="1" applyBorder="1" applyAlignment="1">
      <alignment horizontal="center" vertical="center" readingOrder="1"/>
    </xf>
    <xf numFmtId="17" fontId="16" fillId="3" borderId="0" xfId="0" applyNumberFormat="1" applyFont="1" applyFill="1" applyAlignment="1">
      <alignment horizontal="center" vertical="center"/>
    </xf>
    <xf numFmtId="17" fontId="33" fillId="3" borderId="0" xfId="0" applyNumberFormat="1" applyFont="1" applyFill="1" applyAlignment="1">
      <alignment horizontal="center" vertical="center"/>
    </xf>
    <xf numFmtId="17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</cellXfs>
  <cellStyles count="4">
    <cellStyle name="Hiperlink" xfId="2" builtinId="8"/>
    <cellStyle name="Normal" xfId="0" builtinId="0"/>
    <cellStyle name="Porcentagem" xfId="1" builtinId="5"/>
    <cellStyle name="Vírgula" xfId="3" builtinId="3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251225</xdr:colOff>
      <xdr:row>12</xdr:row>
      <xdr:rowOff>40821</xdr:rowOff>
    </xdr:from>
    <xdr:to>
      <xdr:col>0</xdr:col>
      <xdr:colOff>874216</xdr:colOff>
      <xdr:row>22</xdr:row>
      <xdr:rowOff>149678</xdr:rowOff>
    </xdr:to>
    <xdr:sp macro="" textlink="">
      <xdr:nvSpPr>
        <xdr:cNvPr id="4" name="CaixaDeTexto 13">
          <a:extLst>
            <a:ext uri="{FF2B5EF4-FFF2-40B4-BE49-F238E27FC236}">
              <a16:creationId xmlns:a16="http://schemas.microsoft.com/office/drawing/2014/main" id="{4E9E242D-F646-FB43-8668-4D4807055EDB}"/>
            </a:ext>
          </a:extLst>
        </xdr:cNvPr>
        <xdr:cNvSpPr txBox="1"/>
      </xdr:nvSpPr>
      <xdr:spPr>
        <a:xfrm>
          <a:off x="251225" y="3864428"/>
          <a:ext cx="622991" cy="3306536"/>
        </a:xfrm>
        <a:prstGeom prst="rect">
          <a:avLst/>
        </a:prstGeom>
        <a:noFill/>
      </xdr:spPr>
      <xdr:txBody>
        <a:bodyPr vert="vert270" wrap="square" rtlCol="0" anchor="ctr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800">
              <a:solidFill>
                <a:schemeClr val="bg1"/>
              </a:solidFill>
            </a:rPr>
            <a:t>Índice de </a:t>
          </a:r>
          <a:r>
            <a:rPr lang="pt-BR" sz="2400">
              <a:solidFill>
                <a:schemeClr val="bg1"/>
              </a:solidFill>
            </a:rPr>
            <a:t>Reclamação</a:t>
          </a:r>
          <a:r>
            <a:rPr lang="pt-BR" sz="2800">
              <a:solidFill>
                <a:schemeClr val="bg1"/>
              </a:solidFill>
            </a:rPr>
            <a:t>       </a:t>
          </a:r>
          <a:endParaRPr lang="pt-BR" sz="2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299358</xdr:colOff>
      <xdr:row>22</xdr:row>
      <xdr:rowOff>68035</xdr:rowOff>
    </xdr:from>
    <xdr:to>
      <xdr:col>0</xdr:col>
      <xdr:colOff>886918</xdr:colOff>
      <xdr:row>36</xdr:row>
      <xdr:rowOff>95250</xdr:rowOff>
    </xdr:to>
    <xdr:sp macro="" textlink="">
      <xdr:nvSpPr>
        <xdr:cNvPr id="5" name="CaixaDeTexto 6">
          <a:extLst>
            <a:ext uri="{FF2B5EF4-FFF2-40B4-BE49-F238E27FC236}">
              <a16:creationId xmlns:a16="http://schemas.microsoft.com/office/drawing/2014/main" id="{700992E4-EBD3-8189-6E82-1D607672066B}"/>
            </a:ext>
          </a:extLst>
        </xdr:cNvPr>
        <xdr:cNvSpPr txBox="1"/>
      </xdr:nvSpPr>
      <xdr:spPr>
        <a:xfrm>
          <a:off x="299358" y="7089321"/>
          <a:ext cx="587560" cy="3374572"/>
        </a:xfrm>
        <a:prstGeom prst="rect">
          <a:avLst/>
        </a:prstGeom>
        <a:noFill/>
      </xdr:spPr>
      <xdr:txBody>
        <a:bodyPr vert="vert270" wrap="square" rtlCol="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2400">
              <a:solidFill>
                <a:schemeClr val="bg1"/>
              </a:solidFill>
            </a:rPr>
            <a:t>Índice de Atendimento </a:t>
          </a:r>
        </a:p>
      </xdr:txBody>
    </xdr:sp>
    <xdr:clientData/>
  </xdr:twoCellAnchor>
  <xdr:twoCellAnchor>
    <xdr:from>
      <xdr:col>0</xdr:col>
      <xdr:colOff>276386</xdr:colOff>
      <xdr:row>1</xdr:row>
      <xdr:rowOff>40821</xdr:rowOff>
    </xdr:from>
    <xdr:to>
      <xdr:col>0</xdr:col>
      <xdr:colOff>1087185</xdr:colOff>
      <xdr:row>10</xdr:row>
      <xdr:rowOff>176892</xdr:rowOff>
    </xdr:to>
    <xdr:sp macro="" textlink="">
      <xdr:nvSpPr>
        <xdr:cNvPr id="6" name="CaixaDeTexto 13">
          <a:extLst>
            <a:ext uri="{FF2B5EF4-FFF2-40B4-BE49-F238E27FC236}">
              <a16:creationId xmlns:a16="http://schemas.microsoft.com/office/drawing/2014/main" id="{C2F3A4C0-6A80-49B6-B106-5CA7DA15A035}"/>
            </a:ext>
          </a:extLst>
        </xdr:cNvPr>
        <xdr:cNvSpPr txBox="1"/>
      </xdr:nvSpPr>
      <xdr:spPr>
        <a:xfrm>
          <a:off x="276386" y="231321"/>
          <a:ext cx="810799" cy="3279321"/>
        </a:xfrm>
        <a:prstGeom prst="rect">
          <a:avLst/>
        </a:prstGeom>
        <a:noFill/>
      </xdr:spPr>
      <xdr:txBody>
        <a:bodyPr vert="vert270" wrap="square" rtlCol="0" anchor="ctr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4000">
              <a:solidFill>
                <a:schemeClr val="bg1"/>
              </a:solidFill>
            </a:rPr>
            <a:t>ADC</a:t>
          </a:r>
          <a:endParaRPr lang="pt-BR" sz="3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465539</xdr:colOff>
      <xdr:row>2</xdr:row>
      <xdr:rowOff>54428</xdr:rowOff>
    </xdr:from>
    <xdr:to>
      <xdr:col>0</xdr:col>
      <xdr:colOff>1122508</xdr:colOff>
      <xdr:row>4</xdr:row>
      <xdr:rowOff>97059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69AEF5B-9CBA-AAC0-CED0-68457938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</a:blip>
        <a:stretch>
          <a:fillRect/>
        </a:stretch>
      </xdr:blipFill>
      <xdr:spPr>
        <a:xfrm>
          <a:off x="465539" y="449035"/>
          <a:ext cx="660779" cy="631820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40</xdr:row>
      <xdr:rowOff>47624</xdr:rowOff>
    </xdr:from>
    <xdr:to>
      <xdr:col>0</xdr:col>
      <xdr:colOff>1269400</xdr:colOff>
      <xdr:row>49</xdr:row>
      <xdr:rowOff>95250</xdr:rowOff>
    </xdr:to>
    <xdr:sp macro="" textlink="">
      <xdr:nvSpPr>
        <xdr:cNvPr id="8" name="CaixaDeTexto 6">
          <a:extLst>
            <a:ext uri="{FF2B5EF4-FFF2-40B4-BE49-F238E27FC236}">
              <a16:creationId xmlns:a16="http://schemas.microsoft.com/office/drawing/2014/main" id="{0FF6E31B-369B-4746-82E3-E6FFA9F8B657}"/>
            </a:ext>
          </a:extLst>
        </xdr:cNvPr>
        <xdr:cNvSpPr txBox="1"/>
      </xdr:nvSpPr>
      <xdr:spPr>
        <a:xfrm>
          <a:off x="333375" y="12969874"/>
          <a:ext cx="936025" cy="1936751"/>
        </a:xfrm>
        <a:prstGeom prst="rect">
          <a:avLst/>
        </a:prstGeom>
        <a:noFill/>
      </xdr:spPr>
      <xdr:txBody>
        <a:bodyPr vert="vert270"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2400">
              <a:solidFill>
                <a:schemeClr val="bg1"/>
              </a:solidFill>
            </a:rPr>
            <a:t>Índice</a:t>
          </a:r>
          <a:r>
            <a:rPr lang="pt-BR" sz="2400" baseline="0">
              <a:solidFill>
                <a:schemeClr val="bg1"/>
              </a:solidFill>
            </a:rPr>
            <a:t> de Fiscalização</a:t>
          </a:r>
          <a:endParaRPr lang="pt-BR" sz="2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300181</xdr:colOff>
      <xdr:row>54</xdr:row>
      <xdr:rowOff>155864</xdr:rowOff>
    </xdr:from>
    <xdr:to>
      <xdr:col>0</xdr:col>
      <xdr:colOff>860527</xdr:colOff>
      <xdr:row>73</xdr:row>
      <xdr:rowOff>34636</xdr:rowOff>
    </xdr:to>
    <xdr:sp macro="" textlink="">
      <xdr:nvSpPr>
        <xdr:cNvPr id="10" name="CaixaDeTexto 6">
          <a:extLst>
            <a:ext uri="{FF2B5EF4-FFF2-40B4-BE49-F238E27FC236}">
              <a16:creationId xmlns:a16="http://schemas.microsoft.com/office/drawing/2014/main" id="{087E64D7-F9C5-4E68-8EA7-A82774BD8D16}"/>
            </a:ext>
          </a:extLst>
        </xdr:cNvPr>
        <xdr:cNvSpPr txBox="1"/>
      </xdr:nvSpPr>
      <xdr:spPr>
        <a:xfrm>
          <a:off x="300181" y="14564591"/>
          <a:ext cx="560346" cy="3429000"/>
        </a:xfrm>
        <a:prstGeom prst="rect">
          <a:avLst/>
        </a:prstGeom>
        <a:noFill/>
      </xdr:spPr>
      <xdr:txBody>
        <a:bodyPr vert="vert270"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2400">
              <a:solidFill>
                <a:schemeClr val="bg1"/>
              </a:solidFill>
            </a:rPr>
            <a:t>Índice</a:t>
          </a:r>
          <a:r>
            <a:rPr lang="pt-BR" sz="2400" baseline="0">
              <a:solidFill>
                <a:schemeClr val="bg1"/>
              </a:solidFill>
            </a:rPr>
            <a:t> Plano de Trabalho</a:t>
          </a:r>
          <a:endParaRPr lang="pt-BR" sz="2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F4A-C0B9-457B-8F03-233506B3B885}">
  <sheetPr>
    <tabColor theme="9" tint="-0.249977111117893"/>
  </sheetPr>
  <dimension ref="A1:AF78"/>
  <sheetViews>
    <sheetView showGridLines="0" zoomScale="70" zoomScaleNormal="70" zoomScaleSheetLayoutView="55" zoomScalePageLayoutView="55" workbookViewId="0">
      <selection activeCell="H16" sqref="H16"/>
    </sheetView>
  </sheetViews>
  <sheetFormatPr defaultColWidth="13.44140625" defaultRowHeight="14.4" x14ac:dyDescent="0.3"/>
  <cols>
    <col min="1" max="1" width="18" customWidth="1"/>
    <col min="2" max="2" width="2.33203125" customWidth="1"/>
    <col min="3" max="3" width="38.5546875" customWidth="1"/>
    <col min="4" max="5" width="17.33203125" customWidth="1"/>
    <col min="6" max="6" width="18.109375" customWidth="1"/>
    <col min="7" max="7" width="13.5546875" bestFit="1" customWidth="1"/>
    <col min="8" max="8" width="22.88671875" customWidth="1"/>
    <col min="9" max="9" width="24.5546875" customWidth="1"/>
    <col min="10" max="10" width="46.88671875" customWidth="1"/>
    <col min="11" max="11" width="40.33203125" customWidth="1"/>
    <col min="12" max="12" width="45.33203125" customWidth="1"/>
    <col min="13" max="13" width="6.109375" customWidth="1"/>
    <col min="14" max="14" width="2.33203125" customWidth="1"/>
  </cols>
  <sheetData>
    <row r="1" spans="1:32" x14ac:dyDescent="0.3">
      <c r="A1" s="26"/>
    </row>
    <row r="2" spans="1:32" x14ac:dyDescent="0.3">
      <c r="A2" s="26"/>
    </row>
    <row r="3" spans="1:32" ht="23.25" customHeight="1" x14ac:dyDescent="0.3">
      <c r="A3" s="26"/>
      <c r="D3" s="110"/>
      <c r="E3" s="110"/>
      <c r="F3" s="110"/>
      <c r="G3" s="110"/>
      <c r="H3" s="22"/>
    </row>
    <row r="4" spans="1:32" ht="24" customHeight="1" x14ac:dyDescent="0.3">
      <c r="A4" s="26"/>
      <c r="C4" s="108" t="s">
        <v>100</v>
      </c>
      <c r="D4" s="108"/>
      <c r="E4" s="108"/>
      <c r="F4" s="108"/>
      <c r="G4" s="22"/>
      <c r="H4" s="109" t="s">
        <v>8</v>
      </c>
      <c r="I4" s="109" t="s">
        <v>50</v>
      </c>
      <c r="J4" s="109" t="s">
        <v>20</v>
      </c>
    </row>
    <row r="5" spans="1:32" ht="38.25" customHeight="1" x14ac:dyDescent="0.3">
      <c r="A5" s="26"/>
      <c r="C5" s="79" t="s">
        <v>31</v>
      </c>
      <c r="D5" s="80" t="s">
        <v>82</v>
      </c>
      <c r="E5" s="81" t="s">
        <v>59</v>
      </c>
      <c r="F5" s="82" t="s">
        <v>45</v>
      </c>
      <c r="H5" s="72" t="s">
        <v>49</v>
      </c>
      <c r="I5" s="72"/>
      <c r="J5" s="72" t="s">
        <v>21</v>
      </c>
    </row>
    <row r="6" spans="1:32" ht="36" x14ac:dyDescent="0.3">
      <c r="A6" s="26"/>
      <c r="C6" s="76" t="s">
        <v>4</v>
      </c>
      <c r="D6" s="77">
        <f>H18</f>
        <v>1.0761250887803198</v>
      </c>
      <c r="E6" s="77">
        <v>20</v>
      </c>
      <c r="F6" s="74">
        <v>20</v>
      </c>
      <c r="H6" s="72" t="s">
        <v>51</v>
      </c>
      <c r="I6" s="72" t="s">
        <v>54</v>
      </c>
      <c r="J6" s="73">
        <v>0.95</v>
      </c>
    </row>
    <row r="7" spans="1:32" ht="36" x14ac:dyDescent="0.3">
      <c r="A7" s="26"/>
      <c r="C7" s="76" t="s">
        <v>19</v>
      </c>
      <c r="D7" s="78">
        <f>H30</f>
        <v>0.96799999999999997</v>
      </c>
      <c r="E7" s="77">
        <v>20</v>
      </c>
      <c r="F7" s="72">
        <v>20</v>
      </c>
      <c r="H7" s="72" t="s">
        <v>52</v>
      </c>
      <c r="I7" s="74" t="s">
        <v>55</v>
      </c>
      <c r="J7" s="75">
        <v>0.9</v>
      </c>
    </row>
    <row r="8" spans="1:32" ht="36" x14ac:dyDescent="0.3">
      <c r="A8" s="26"/>
      <c r="C8" s="76" t="s">
        <v>29</v>
      </c>
      <c r="D8" s="78">
        <f>H42</f>
        <v>0.9</v>
      </c>
      <c r="E8" s="77">
        <v>0</v>
      </c>
      <c r="F8" s="72">
        <v>20</v>
      </c>
      <c r="H8" s="72" t="s">
        <v>53</v>
      </c>
      <c r="I8" s="74" t="s">
        <v>56</v>
      </c>
      <c r="J8" s="75">
        <v>0.8</v>
      </c>
    </row>
    <row r="9" spans="1:32" ht="36" x14ac:dyDescent="0.35">
      <c r="A9" s="26"/>
      <c r="C9" s="76" t="s">
        <v>30</v>
      </c>
      <c r="D9" s="78" t="e">
        <f>H58</f>
        <v>#REF!</v>
      </c>
      <c r="E9" s="77">
        <v>40</v>
      </c>
      <c r="F9" s="72">
        <v>40</v>
      </c>
      <c r="H9" s="72" t="s">
        <v>58</v>
      </c>
      <c r="I9" s="72"/>
      <c r="J9" s="74" t="s">
        <v>57</v>
      </c>
      <c r="K9" s="71"/>
      <c r="L9" s="71"/>
    </row>
    <row r="10" spans="1:32" ht="23.4" x14ac:dyDescent="0.3">
      <c r="A10" s="26"/>
      <c r="C10" s="103" t="s">
        <v>22</v>
      </c>
      <c r="D10" s="104"/>
      <c r="E10" s="105">
        <f>SUM(E6:E9)</f>
        <v>80</v>
      </c>
      <c r="F10" s="105">
        <f>F6+F7+F8+F9</f>
        <v>100</v>
      </c>
      <c r="G10" s="25"/>
      <c r="H10" s="25"/>
    </row>
    <row r="11" spans="1:32" x14ac:dyDescent="0.3">
      <c r="A11" s="26"/>
    </row>
    <row r="12" spans="1:32" ht="4.5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32" ht="15" thickBot="1" x14ac:dyDescent="0.35">
      <c r="A13" s="26"/>
    </row>
    <row r="14" spans="1:32" ht="47.25" customHeight="1" thickBot="1" x14ac:dyDescent="0.35">
      <c r="A14" s="26"/>
      <c r="C14" s="32"/>
      <c r="D14" s="32" t="s">
        <v>32</v>
      </c>
      <c r="E14" s="33"/>
      <c r="F14" s="33"/>
      <c r="G14" s="34"/>
      <c r="H14" s="35"/>
      <c r="I14" s="23"/>
      <c r="J14" s="52" t="s">
        <v>77</v>
      </c>
      <c r="K14" s="52" t="s">
        <v>23</v>
      </c>
    </row>
    <row r="15" spans="1:32" ht="25.5" customHeight="1" thickBot="1" x14ac:dyDescent="0.35">
      <c r="A15" s="27"/>
      <c r="B15" s="3"/>
      <c r="C15" s="36" t="s">
        <v>18</v>
      </c>
      <c r="D15" s="43" t="s">
        <v>0</v>
      </c>
      <c r="E15" s="44" t="s">
        <v>1</v>
      </c>
      <c r="F15" s="44" t="s">
        <v>2</v>
      </c>
      <c r="G15" s="44" t="s">
        <v>3</v>
      </c>
      <c r="H15" s="45" t="s">
        <v>9</v>
      </c>
      <c r="I15" s="2"/>
      <c r="J15" s="38" t="s">
        <v>24</v>
      </c>
      <c r="K15" s="49">
        <v>511</v>
      </c>
      <c r="L15" s="94"/>
      <c r="M15" s="1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33.75" customHeight="1" thickBot="1" x14ac:dyDescent="0.35">
      <c r="A16" s="28"/>
      <c r="B16" s="5"/>
      <c r="C16" s="46" t="s">
        <v>12</v>
      </c>
      <c r="D16" s="83">
        <v>100</v>
      </c>
      <c r="E16" s="83">
        <v>150</v>
      </c>
      <c r="F16" s="83">
        <v>200</v>
      </c>
      <c r="G16" s="95">
        <v>100</v>
      </c>
      <c r="H16" s="84">
        <f>SUM(D16:G16)</f>
        <v>550</v>
      </c>
      <c r="I16" s="7"/>
      <c r="J16" s="38" t="s">
        <v>25</v>
      </c>
      <c r="K16" s="39">
        <v>1020</v>
      </c>
      <c r="M16" s="14"/>
      <c r="O16" s="11"/>
      <c r="P16" s="11"/>
      <c r="Q16" s="4"/>
      <c r="R16" s="4"/>
      <c r="S16" s="4"/>
      <c r="T16" s="4"/>
      <c r="U16" s="4"/>
      <c r="V16" s="4"/>
      <c r="W16" s="4"/>
      <c r="X16" s="4"/>
      <c r="Y16" s="4"/>
    </row>
    <row r="17" spans="1:32" ht="31.8" thickBot="1" x14ac:dyDescent="0.35">
      <c r="A17" s="28"/>
      <c r="B17" s="5"/>
      <c r="C17" s="47" t="s">
        <v>5</v>
      </c>
      <c r="D17" s="59">
        <v>130030</v>
      </c>
      <c r="E17" s="59">
        <v>112924</v>
      </c>
      <c r="F17" s="59">
        <v>147969</v>
      </c>
      <c r="G17" s="59">
        <v>120170</v>
      </c>
      <c r="H17" s="59">
        <f>SUM(D17:G17)</f>
        <v>511093</v>
      </c>
      <c r="I17" s="8"/>
      <c r="J17" s="38" t="s">
        <v>26</v>
      </c>
      <c r="K17" s="40">
        <v>1020</v>
      </c>
      <c r="M17" s="14"/>
      <c r="O17" s="12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1" customHeight="1" thickBot="1" x14ac:dyDescent="0.35">
      <c r="A18" s="26"/>
      <c r="C18" s="48" t="s">
        <v>10</v>
      </c>
      <c r="D18" s="85">
        <f>(D16*1000)/D17</f>
        <v>0.76905329539337075</v>
      </c>
      <c r="E18" s="86">
        <f>(E16*1000)/E17</f>
        <v>1.3283270164004108</v>
      </c>
      <c r="F18" s="85">
        <f>(F16*1000)/F17</f>
        <v>1.3516344639755624</v>
      </c>
      <c r="G18" s="85">
        <f>(G16*1000)/G17</f>
        <v>0.83215444786552384</v>
      </c>
      <c r="H18" s="85">
        <f>(H16*1000)/H17</f>
        <v>1.0761250887803198</v>
      </c>
      <c r="I18" s="8"/>
      <c r="J18" s="38" t="s">
        <v>27</v>
      </c>
      <c r="K18" s="40">
        <v>2510</v>
      </c>
      <c r="M18" s="14"/>
    </row>
    <row r="19" spans="1:32" ht="21" customHeight="1" thickBot="1" x14ac:dyDescent="0.35">
      <c r="A19" s="26"/>
      <c r="C19" s="37" t="s">
        <v>7</v>
      </c>
      <c r="D19" s="99">
        <f>IF(D18&lt;=1,20,0)</f>
        <v>20</v>
      </c>
      <c r="E19" s="99">
        <f t="shared" ref="E19:H19" si="0">IF(E18&lt;=1,20,0)</f>
        <v>0</v>
      </c>
      <c r="F19" s="99">
        <f t="shared" si="0"/>
        <v>0</v>
      </c>
      <c r="G19" s="99">
        <f t="shared" si="0"/>
        <v>20</v>
      </c>
      <c r="H19" s="99">
        <f>IF(H18&lt;=1,20,0)</f>
        <v>0</v>
      </c>
      <c r="I19" s="9"/>
      <c r="J19" s="41" t="s">
        <v>28</v>
      </c>
      <c r="K19" s="42"/>
      <c r="M19" s="14"/>
    </row>
    <row r="20" spans="1:32" ht="21" x14ac:dyDescent="0.3">
      <c r="A20" s="26"/>
      <c r="C20" s="97"/>
      <c r="I20" s="10"/>
      <c r="J20" s="29"/>
      <c r="K20" s="29"/>
      <c r="L20" s="14"/>
    </row>
    <row r="21" spans="1:32" ht="15.6" x14ac:dyDescent="0.3">
      <c r="A21" s="26"/>
      <c r="C21" s="69" t="s">
        <v>61</v>
      </c>
      <c r="D21" s="96">
        <v>130</v>
      </c>
      <c r="E21" s="96">
        <v>113</v>
      </c>
      <c r="F21" s="96">
        <v>148</v>
      </c>
      <c r="G21" s="96">
        <v>120</v>
      </c>
      <c r="H21" s="96">
        <f>D21+E21+F21+G21</f>
        <v>511</v>
      </c>
      <c r="J21" s="29"/>
      <c r="K21" s="29"/>
      <c r="L21" s="14"/>
    </row>
    <row r="22" spans="1:32" ht="15.6" x14ac:dyDescent="0.3">
      <c r="A22" s="26"/>
      <c r="I22" s="6"/>
      <c r="J22" s="29"/>
      <c r="K22" s="29"/>
      <c r="L22" s="14"/>
    </row>
    <row r="23" spans="1:32" x14ac:dyDescent="0.3">
      <c r="A23" s="26"/>
    </row>
    <row r="24" spans="1:32" ht="6" customHeight="1" x14ac:dyDescent="0.3">
      <c r="A24" s="24"/>
      <c r="B24" s="24"/>
      <c r="C24" s="50"/>
      <c r="D24" s="50"/>
      <c r="E24" s="50"/>
      <c r="F24" s="50"/>
      <c r="G24" s="50"/>
      <c r="H24" s="50"/>
      <c r="I24" s="50"/>
      <c r="J24" s="50"/>
      <c r="K24" s="50"/>
      <c r="L24" s="50"/>
      <c r="N24" s="51"/>
    </row>
    <row r="25" spans="1:32" x14ac:dyDescent="0.3">
      <c r="A25" s="26"/>
      <c r="L25" s="13"/>
      <c r="M25" s="13"/>
    </row>
    <row r="26" spans="1:32" hidden="1" x14ac:dyDescent="0.3">
      <c r="A26" s="26"/>
    </row>
    <row r="27" spans="1:32" x14ac:dyDescent="0.3">
      <c r="A27" s="26"/>
    </row>
    <row r="28" spans="1:32" ht="35.25" customHeight="1" thickBot="1" x14ac:dyDescent="0.35">
      <c r="A28" s="26"/>
      <c r="C28" s="30"/>
      <c r="D28" s="30" t="s">
        <v>47</v>
      </c>
      <c r="E28" s="31"/>
      <c r="F28" s="31"/>
      <c r="G28" s="31"/>
      <c r="H28" s="31"/>
      <c r="I28" s="3"/>
      <c r="J28" s="52" t="s">
        <v>63</v>
      </c>
      <c r="K28" s="52" t="s">
        <v>64</v>
      </c>
      <c r="L28" s="52" t="s">
        <v>80</v>
      </c>
    </row>
    <row r="29" spans="1:32" ht="23.25" customHeight="1" thickBot="1" x14ac:dyDescent="0.35">
      <c r="A29" s="26"/>
      <c r="C29" s="64" t="s">
        <v>18</v>
      </c>
      <c r="D29" s="60" t="s">
        <v>0</v>
      </c>
      <c r="E29" s="60" t="s">
        <v>1</v>
      </c>
      <c r="F29" s="60" t="s">
        <v>2</v>
      </c>
      <c r="G29" s="60" t="s">
        <v>3</v>
      </c>
      <c r="H29" s="61" t="s">
        <v>6</v>
      </c>
      <c r="I29" s="4"/>
      <c r="J29" s="38" t="s">
        <v>65</v>
      </c>
      <c r="K29" s="38" t="s">
        <v>66</v>
      </c>
      <c r="L29" s="38" t="s">
        <v>79</v>
      </c>
    </row>
    <row r="30" spans="1:32" s="1" customFormat="1" ht="27.75" customHeight="1" thickBot="1" x14ac:dyDescent="0.35">
      <c r="A30" s="26"/>
      <c r="B30"/>
      <c r="C30" s="64" t="s">
        <v>13</v>
      </c>
      <c r="D30" s="56">
        <f>D33/D31</f>
        <v>0.9363636363636364</v>
      </c>
      <c r="E30" s="56">
        <f>E33/E31</f>
        <v>0.97</v>
      </c>
      <c r="F30" s="56">
        <f>F33/F31</f>
        <v>0.9966666666666667</v>
      </c>
      <c r="G30" s="56" t="e">
        <f>G33/G31</f>
        <v>#DIV/0!</v>
      </c>
      <c r="H30" s="56">
        <f>H33/H31</f>
        <v>0.96799999999999997</v>
      </c>
      <c r="I30" s="4"/>
      <c r="J30" s="38" t="s">
        <v>67</v>
      </c>
      <c r="K30" s="38" t="s">
        <v>68</v>
      </c>
      <c r="L30" s="38"/>
      <c r="M30"/>
      <c r="N30"/>
      <c r="O30"/>
      <c r="P30"/>
      <c r="Q30"/>
      <c r="R30"/>
      <c r="S30"/>
      <c r="T30"/>
      <c r="U30"/>
      <c r="V30"/>
      <c r="W30"/>
      <c r="X30"/>
    </row>
    <row r="31" spans="1:32" s="1" customFormat="1" ht="39.75" customHeight="1" thickBot="1" x14ac:dyDescent="0.35">
      <c r="A31" s="26"/>
      <c r="B31"/>
      <c r="C31" s="64" t="s">
        <v>14</v>
      </c>
      <c r="D31" s="55">
        <v>550</v>
      </c>
      <c r="E31" s="55">
        <v>100</v>
      </c>
      <c r="F31" s="55">
        <v>600</v>
      </c>
      <c r="G31" s="62">
        <v>0</v>
      </c>
      <c r="H31" s="87">
        <f>SUM(D31:G31)</f>
        <v>1250</v>
      </c>
      <c r="I31" s="5"/>
      <c r="J31" s="38" t="s">
        <v>69</v>
      </c>
      <c r="K31" s="38" t="s">
        <v>70</v>
      </c>
      <c r="L31" s="38"/>
      <c r="M31"/>
      <c r="N31"/>
      <c r="O31"/>
      <c r="P31"/>
      <c r="Q31"/>
      <c r="R31"/>
      <c r="S31"/>
      <c r="T31"/>
      <c r="U31"/>
      <c r="V31"/>
      <c r="W31"/>
      <c r="X31"/>
    </row>
    <row r="32" spans="1:32" s="1" customFormat="1" ht="31.5" customHeight="1" thickBot="1" x14ac:dyDescent="0.35">
      <c r="A32" s="26"/>
      <c r="B32"/>
      <c r="C32" s="64" t="s">
        <v>15</v>
      </c>
      <c r="D32" s="88">
        <v>35</v>
      </c>
      <c r="E32" s="88">
        <v>3</v>
      </c>
      <c r="F32" s="88">
        <v>2</v>
      </c>
      <c r="G32" s="88">
        <v>0</v>
      </c>
      <c r="H32" s="89">
        <f>SUM(D32:G32)</f>
        <v>40</v>
      </c>
      <c r="I32" s="4"/>
      <c r="J32" s="38" t="s">
        <v>71</v>
      </c>
      <c r="K32" s="38" t="s">
        <v>72</v>
      </c>
      <c r="L32" s="38"/>
      <c r="M32"/>
      <c r="N32"/>
      <c r="O32"/>
      <c r="P32"/>
      <c r="Q32"/>
      <c r="R32"/>
      <c r="S32"/>
      <c r="T32"/>
      <c r="U32"/>
      <c r="V32"/>
      <c r="W32"/>
      <c r="X32"/>
    </row>
    <row r="33" spans="1:24" s="1" customFormat="1" ht="18.600000000000001" thickBot="1" x14ac:dyDescent="0.35">
      <c r="A33" s="26"/>
      <c r="B33"/>
      <c r="C33" s="64" t="s">
        <v>16</v>
      </c>
      <c r="D33" s="55">
        <f>D31-D32</f>
        <v>515</v>
      </c>
      <c r="E33" s="55">
        <f>E31-E32</f>
        <v>97</v>
      </c>
      <c r="F33" s="55">
        <f>F31-F32</f>
        <v>598</v>
      </c>
      <c r="G33" s="62">
        <f>G31-G32</f>
        <v>0</v>
      </c>
      <c r="H33" s="87">
        <f>H31-H32</f>
        <v>1210</v>
      </c>
      <c r="I33"/>
      <c r="J33" s="38" t="s">
        <v>73</v>
      </c>
      <c r="K33" s="38" t="s">
        <v>74</v>
      </c>
      <c r="L33" s="38"/>
      <c r="M33"/>
      <c r="N33"/>
      <c r="O33"/>
      <c r="P33"/>
      <c r="Q33"/>
      <c r="R33"/>
      <c r="S33"/>
      <c r="T33"/>
      <c r="U33"/>
      <c r="V33"/>
      <c r="W33"/>
      <c r="X33"/>
    </row>
    <row r="34" spans="1:24" s="1" customFormat="1" ht="15.75" hidden="1" customHeight="1" x14ac:dyDescent="0.3">
      <c r="A34" s="26"/>
      <c r="B34"/>
      <c r="C34" s="63"/>
      <c r="D34" s="54"/>
      <c r="E34" s="53"/>
      <c r="F34" s="53"/>
      <c r="G34" s="53"/>
      <c r="H34" s="53"/>
      <c r="I34"/>
      <c r="J34" s="100" t="s">
        <v>75</v>
      </c>
      <c r="K34" s="100" t="s">
        <v>76</v>
      </c>
      <c r="L34" s="38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 thickBot="1" x14ac:dyDescent="0.35">
      <c r="A35" s="26"/>
      <c r="C35" s="57"/>
      <c r="D35" s="1"/>
      <c r="E35" s="1"/>
      <c r="F35" s="1"/>
      <c r="G35" s="1"/>
      <c r="H35" s="58"/>
      <c r="J35" s="38" t="s">
        <v>75</v>
      </c>
      <c r="K35" s="38" t="s">
        <v>76</v>
      </c>
      <c r="L35" s="38"/>
    </row>
    <row r="36" spans="1:24" ht="18.75" customHeight="1" x14ac:dyDescent="0.3">
      <c r="A36" s="26"/>
      <c r="C36" s="69" t="s">
        <v>78</v>
      </c>
      <c r="D36" s="101">
        <v>0.1</v>
      </c>
      <c r="E36" s="101">
        <v>0.1</v>
      </c>
      <c r="F36" s="101">
        <v>0.1</v>
      </c>
      <c r="G36" s="101">
        <v>0.1</v>
      </c>
      <c r="H36" s="101">
        <v>0.1</v>
      </c>
    </row>
    <row r="37" spans="1:24" ht="20.25" customHeight="1" x14ac:dyDescent="0.3">
      <c r="A37" s="26"/>
      <c r="C37" s="70"/>
    </row>
    <row r="38" spans="1:24" ht="16.5" customHeight="1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</row>
    <row r="39" spans="1:24" ht="15" customHeight="1" x14ac:dyDescent="0.3">
      <c r="A39" s="26"/>
    </row>
    <row r="40" spans="1:24" ht="21.75" customHeight="1" thickBot="1" x14ac:dyDescent="0.35">
      <c r="A40" s="26"/>
      <c r="C40" s="92"/>
      <c r="D40" s="92" t="s">
        <v>46</v>
      </c>
      <c r="E40" s="92"/>
      <c r="F40" s="92"/>
      <c r="G40" s="92"/>
      <c r="H40" s="92"/>
      <c r="J40" s="52" t="s">
        <v>11</v>
      </c>
      <c r="K40" s="102"/>
    </row>
    <row r="41" spans="1:24" ht="26.25" customHeight="1" thickBot="1" x14ac:dyDescent="0.35">
      <c r="A41" s="26"/>
      <c r="C41" s="64" t="s">
        <v>18</v>
      </c>
      <c r="D41" s="60" t="s">
        <v>0</v>
      </c>
      <c r="E41" s="60" t="s">
        <v>1</v>
      </c>
      <c r="F41" s="60" t="s">
        <v>2</v>
      </c>
      <c r="G41" s="60" t="s">
        <v>3</v>
      </c>
      <c r="H41" s="61" t="s">
        <v>7</v>
      </c>
      <c r="J41" s="106" t="s">
        <v>35</v>
      </c>
      <c r="K41" s="29"/>
    </row>
    <row r="42" spans="1:24" ht="16.2" thickBot="1" x14ac:dyDescent="0.35">
      <c r="A42" s="26"/>
      <c r="C42" s="64" t="s">
        <v>33</v>
      </c>
      <c r="D42" s="65">
        <f>D44/D43</f>
        <v>0.9</v>
      </c>
      <c r="E42" s="65">
        <f t="shared" ref="E42:H42" si="1">E44/E43</f>
        <v>0.9</v>
      </c>
      <c r="F42" s="65">
        <f>F44/F43</f>
        <v>0.9</v>
      </c>
      <c r="G42" s="65">
        <f t="shared" si="1"/>
        <v>0.9</v>
      </c>
      <c r="H42" s="98">
        <f t="shared" si="1"/>
        <v>0.9</v>
      </c>
      <c r="J42" s="106" t="s">
        <v>36</v>
      </c>
      <c r="K42" s="29"/>
    </row>
    <row r="43" spans="1:24" ht="18.600000000000001" thickBot="1" x14ac:dyDescent="0.4">
      <c r="A43" s="26"/>
      <c r="C43" s="64" t="s">
        <v>34</v>
      </c>
      <c r="D43" s="66">
        <v>300</v>
      </c>
      <c r="E43" s="66">
        <v>300</v>
      </c>
      <c r="F43" s="66">
        <v>300</v>
      </c>
      <c r="G43" s="67">
        <v>300</v>
      </c>
      <c r="H43" s="68">
        <f>SUM(D43:G43)</f>
        <v>1200</v>
      </c>
      <c r="J43" s="106" t="s">
        <v>17</v>
      </c>
      <c r="K43" s="29"/>
    </row>
    <row r="44" spans="1:24" ht="29.4" thickBot="1" x14ac:dyDescent="0.4">
      <c r="A44" s="26"/>
      <c r="C44" s="64" t="s">
        <v>44</v>
      </c>
      <c r="D44" s="67">
        <v>270</v>
      </c>
      <c r="E44" s="67">
        <v>270</v>
      </c>
      <c r="F44" s="67">
        <v>270</v>
      </c>
      <c r="G44" s="67">
        <v>270</v>
      </c>
      <c r="H44" s="68">
        <f>SUM(D44:G44)</f>
        <v>1080</v>
      </c>
      <c r="J44" s="106" t="s">
        <v>37</v>
      </c>
      <c r="K44" s="29"/>
    </row>
    <row r="45" spans="1:24" ht="18.600000000000001" thickBot="1" x14ac:dyDescent="0.4">
      <c r="A45" s="26"/>
      <c r="C45" s="57"/>
      <c r="D45" s="90"/>
      <c r="E45" s="90"/>
      <c r="F45" s="90"/>
      <c r="G45" s="90"/>
      <c r="H45" s="91"/>
      <c r="J45" s="107" t="s">
        <v>38</v>
      </c>
      <c r="K45" s="29"/>
    </row>
    <row r="46" spans="1:24" ht="16.2" thickBot="1" x14ac:dyDescent="0.35">
      <c r="A46" s="26"/>
      <c r="J46" s="106" t="s">
        <v>39</v>
      </c>
      <c r="K46" s="29"/>
    </row>
    <row r="47" spans="1:24" ht="16.2" thickBot="1" x14ac:dyDescent="0.35">
      <c r="A47" s="26"/>
      <c r="J47" s="106" t="s">
        <v>40</v>
      </c>
      <c r="K47" s="29"/>
    </row>
    <row r="48" spans="1:24" ht="16.2" thickBot="1" x14ac:dyDescent="0.35">
      <c r="A48" s="26"/>
      <c r="C48" s="112" t="s">
        <v>81</v>
      </c>
      <c r="D48" s="112"/>
      <c r="E48" s="112"/>
      <c r="F48" s="112"/>
      <c r="G48" s="112"/>
      <c r="H48" s="112"/>
      <c r="J48" s="106" t="s">
        <v>41</v>
      </c>
      <c r="K48" s="29"/>
    </row>
    <row r="49" spans="1:12" ht="16.2" thickBot="1" x14ac:dyDescent="0.35">
      <c r="A49" s="26"/>
      <c r="J49" s="106" t="s">
        <v>42</v>
      </c>
      <c r="K49" s="29"/>
    </row>
    <row r="50" spans="1:12" ht="19.5" customHeight="1" thickBot="1" x14ac:dyDescent="0.35">
      <c r="A50" s="26"/>
      <c r="D50" s="93" t="s">
        <v>60</v>
      </c>
      <c r="J50" s="107" t="s">
        <v>43</v>
      </c>
      <c r="K50" s="29"/>
    </row>
    <row r="51" spans="1:12" hidden="1" x14ac:dyDescent="0.3">
      <c r="A51" s="26"/>
    </row>
    <row r="52" spans="1:12" x14ac:dyDescent="0.3">
      <c r="A52" s="26"/>
    </row>
    <row r="53" spans="1:12" ht="11.25" customHeight="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</row>
    <row r="54" spans="1:12" x14ac:dyDescent="0.3">
      <c r="A54" s="26"/>
    </row>
    <row r="55" spans="1:12" x14ac:dyDescent="0.3">
      <c r="A55" s="26"/>
    </row>
    <row r="56" spans="1:12" ht="21.6" thickBot="1" x14ac:dyDescent="0.35">
      <c r="A56" s="26"/>
      <c r="C56" s="30"/>
      <c r="D56" s="30" t="s">
        <v>48</v>
      </c>
      <c r="E56" s="30"/>
      <c r="F56" s="30"/>
      <c r="G56" s="30"/>
      <c r="H56" s="30"/>
      <c r="J56" s="52" t="s">
        <v>83</v>
      </c>
      <c r="K56" s="52" t="s">
        <v>64</v>
      </c>
    </row>
    <row r="57" spans="1:12" ht="16.2" thickBot="1" x14ac:dyDescent="0.35">
      <c r="A57" s="26"/>
      <c r="C57" s="64" t="s">
        <v>18</v>
      </c>
      <c r="D57" s="60" t="s">
        <v>0</v>
      </c>
      <c r="E57" s="60" t="s">
        <v>1</v>
      </c>
      <c r="F57" s="60" t="s">
        <v>2</v>
      </c>
      <c r="G57" s="60" t="s">
        <v>3</v>
      </c>
      <c r="H57" s="61" t="s">
        <v>7</v>
      </c>
      <c r="J57" s="106" t="s">
        <v>84</v>
      </c>
      <c r="K57" s="106" t="s">
        <v>85</v>
      </c>
    </row>
    <row r="58" spans="1:12" ht="16.2" thickBot="1" x14ac:dyDescent="0.35">
      <c r="A58" s="26"/>
      <c r="C58" s="64" t="s">
        <v>30</v>
      </c>
      <c r="D58" s="65" t="e">
        <f>#REF!/D60</f>
        <v>#REF!</v>
      </c>
      <c r="E58" s="65" t="e">
        <f>#REF!/E60</f>
        <v>#REF!</v>
      </c>
      <c r="F58" s="65" t="e">
        <f>#REF!/F60</f>
        <v>#REF!</v>
      </c>
      <c r="G58" s="65" t="e">
        <f>#REF!/G60</f>
        <v>#REF!</v>
      </c>
      <c r="H58" s="65" t="e">
        <f>H60/#REF!</f>
        <v>#REF!</v>
      </c>
      <c r="J58" s="106" t="s">
        <v>86</v>
      </c>
      <c r="K58" s="106" t="s">
        <v>87</v>
      </c>
    </row>
    <row r="59" spans="1:12" ht="18.600000000000001" thickBot="1" x14ac:dyDescent="0.4">
      <c r="A59" s="26"/>
      <c r="C59" s="64" t="s">
        <v>62</v>
      </c>
      <c r="D59" s="66"/>
      <c r="E59" s="66"/>
      <c r="F59" s="66"/>
      <c r="G59" s="67"/>
      <c r="H59" s="68"/>
      <c r="J59" s="106" t="s">
        <v>88</v>
      </c>
      <c r="K59" s="106" t="s">
        <v>89</v>
      </c>
    </row>
    <row r="60" spans="1:12" ht="30" hidden="1" customHeight="1" x14ac:dyDescent="0.35">
      <c r="A60" s="26"/>
      <c r="C60" s="64" t="s">
        <v>44</v>
      </c>
      <c r="D60" s="67">
        <v>8</v>
      </c>
      <c r="E60" s="67">
        <v>8</v>
      </c>
      <c r="F60" s="67">
        <v>8</v>
      </c>
      <c r="G60" s="67">
        <v>8</v>
      </c>
      <c r="H60" s="68">
        <f>SUM(D60:G60)</f>
        <v>32</v>
      </c>
      <c r="J60" s="106" t="s">
        <v>90</v>
      </c>
      <c r="K60" s="106" t="s">
        <v>91</v>
      </c>
    </row>
    <row r="61" spans="1:12" ht="16.2" thickBot="1" x14ac:dyDescent="0.35">
      <c r="A61" s="26"/>
      <c r="J61" s="106" t="s">
        <v>92</v>
      </c>
      <c r="K61" s="106" t="s">
        <v>93</v>
      </c>
    </row>
    <row r="62" spans="1:12" ht="16.2" thickBot="1" x14ac:dyDescent="0.35">
      <c r="A62" s="26"/>
      <c r="C62" s="16"/>
      <c r="D62" s="17"/>
      <c r="E62" s="18"/>
      <c r="J62" s="106" t="s">
        <v>94</v>
      </c>
      <c r="K62" s="106" t="s">
        <v>95</v>
      </c>
    </row>
    <row r="63" spans="1:12" ht="16.2" thickBot="1" x14ac:dyDescent="0.35">
      <c r="A63" s="26"/>
      <c r="J63" s="106" t="s">
        <v>96</v>
      </c>
      <c r="K63" s="106" t="s">
        <v>66</v>
      </c>
    </row>
    <row r="64" spans="1:12" ht="16.2" thickBot="1" x14ac:dyDescent="0.35">
      <c r="A64" s="26"/>
      <c r="J64" s="106" t="s">
        <v>97</v>
      </c>
      <c r="K64" s="106" t="s">
        <v>68</v>
      </c>
    </row>
    <row r="65" spans="1:12" ht="16.2" thickBot="1" x14ac:dyDescent="0.35">
      <c r="A65" s="26"/>
      <c r="J65" s="106" t="s">
        <v>98</v>
      </c>
      <c r="K65" s="106" t="s">
        <v>70</v>
      </c>
    </row>
    <row r="66" spans="1:12" ht="16.2" thickBot="1" x14ac:dyDescent="0.35">
      <c r="A66" s="26"/>
      <c r="J66" s="106" t="s">
        <v>99</v>
      </c>
      <c r="K66" s="106" t="s">
        <v>76</v>
      </c>
    </row>
    <row r="67" spans="1:12" x14ac:dyDescent="0.3">
      <c r="A67" s="26"/>
    </row>
    <row r="68" spans="1:12" x14ac:dyDescent="0.3">
      <c r="A68" s="26"/>
      <c r="C68" s="16"/>
      <c r="D68" s="17"/>
      <c r="E68" s="19"/>
    </row>
    <row r="69" spans="1:12" x14ac:dyDescent="0.3">
      <c r="A69" s="26"/>
      <c r="C69" s="111"/>
      <c r="D69" s="111"/>
      <c r="E69" s="19"/>
    </row>
    <row r="70" spans="1:12" x14ac:dyDescent="0.3">
      <c r="A70" s="26"/>
      <c r="C70" s="16"/>
      <c r="D70" s="17"/>
      <c r="E70" s="20"/>
    </row>
    <row r="71" spans="1:12" x14ac:dyDescent="0.3">
      <c r="A71" s="26"/>
      <c r="C71" s="21"/>
    </row>
    <row r="72" spans="1:12" x14ac:dyDescent="0.3">
      <c r="A72" s="26"/>
    </row>
    <row r="73" spans="1:12" x14ac:dyDescent="0.3">
      <c r="A73" s="26"/>
    </row>
    <row r="74" spans="1:12" x14ac:dyDescent="0.3">
      <c r="A74" s="26"/>
    </row>
    <row r="75" spans="1:12" x14ac:dyDescent="0.3">
      <c r="A75" s="26"/>
    </row>
    <row r="76" spans="1:12" x14ac:dyDescent="0.3">
      <c r="A76" s="26"/>
    </row>
    <row r="77" spans="1:12" x14ac:dyDescent="0.3">
      <c r="A77" s="26"/>
    </row>
    <row r="78" spans="1:12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</row>
  </sheetData>
  <mergeCells count="3">
    <mergeCell ref="D3:G3"/>
    <mergeCell ref="C69:D69"/>
    <mergeCell ref="C48:H48"/>
  </mergeCells>
  <phoneticPr fontId="9" type="noConversion"/>
  <pageMargins left="0.25" right="0.25" top="1.2254901960784315" bottom="0.75" header="0.3" footer="0.3"/>
  <pageSetup paperSize="9" scale="28" orientation="landscape" r:id="rId1"/>
  <headerFooter>
    <oddHeader>&amp;C&amp;"-,Negrito"&amp;16AVALIAÇÃO DE DESEMPENHO DA CONTRATADA
ADC
CONTRATO EMERGENCIAL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ECF5-44DF-4139-9934-A8ACF7F2BCB8}">
  <dimension ref="B2:B3"/>
  <sheetViews>
    <sheetView tabSelected="1" workbookViewId="0">
      <selection activeCell="B2" sqref="B2:B3"/>
    </sheetView>
  </sheetViews>
  <sheetFormatPr defaultRowHeight="14.4" x14ac:dyDescent="0.3"/>
  <sheetData>
    <row r="2" spans="2:2" x14ac:dyDescent="0.3">
      <c r="B2" s="94"/>
    </row>
    <row r="3" spans="2:2" x14ac:dyDescent="0.3">
      <c r="B3" s="9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80BE16-4B3B-4CF3-8384-1733DBE03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ADC</vt:lpstr>
      <vt:lpstr>EXPLICAÇÃO</vt:lpstr>
      <vt:lpstr>ADC!Area_de_impressao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Correa</dc:creator>
  <cp:lastModifiedBy>Marcos Vinicius</cp:lastModifiedBy>
  <dcterms:created xsi:type="dcterms:W3CDTF">2021-07-05T12:09:21Z</dcterms:created>
  <dcterms:modified xsi:type="dcterms:W3CDTF">2025-11-13T23:00:46Z</dcterms:modified>
</cp:coreProperties>
</file>